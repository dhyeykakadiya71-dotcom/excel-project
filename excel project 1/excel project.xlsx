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 folder\"/>
    </mc:Choice>
  </mc:AlternateContent>
  <xr:revisionPtr revIDLastSave="0" documentId="8_{EAB57745-58F2-4834-9040-DBC7C3B41267}" xr6:coauthVersionLast="47" xr6:coauthVersionMax="47" xr10:uidLastSave="{00000000-0000-0000-0000-000000000000}"/>
  <bookViews>
    <workbookView xWindow="-108" yWindow="-108" windowWidth="23256" windowHeight="13176" activeTab="2" xr2:uid="{2C15B399-CC1B-436B-B8C4-C10C6D6AE931}"/>
  </bookViews>
  <sheets>
    <sheet name="Student_Mark_Sheet" sheetId="1" r:id="rId1"/>
    <sheet name="Seles_Detals_Sheet" sheetId="2" r:id="rId2"/>
    <sheet name="Employee_Data_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  <c r="B30" i="3"/>
  <c r="B26" i="3"/>
  <c r="B47" i="2" a="1"/>
  <c r="B34" i="3" a="1"/>
  <c r="B34" i="3" l="1"/>
  <c r="B47" i="2"/>
  <c r="B31" i="1" l="1" a="1"/>
  <c r="B31" i="1" s="1"/>
  <c r="B43" i="2"/>
  <c r="B39" i="2"/>
  <c r="B35" i="2" l="1" a="1"/>
  <c r="B35" i="2" s="1"/>
  <c r="B30" i="2"/>
  <c r="B26" i="2"/>
  <c r="B28" i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" i="2"/>
  <c r="H2" i="2" s="1"/>
  <c r="I15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I21" i="1"/>
  <c r="M2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B25" i="1"/>
  <c r="B24" i="1"/>
  <c r="I3" i="1"/>
  <c r="I4" i="1"/>
  <c r="I5" i="1"/>
  <c r="I6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" i="1"/>
  <c r="H5" i="1"/>
  <c r="H6" i="1"/>
  <c r="H13" i="1"/>
  <c r="H14" i="1"/>
  <c r="G3" i="1"/>
  <c r="H3" i="1" s="1"/>
  <c r="G4" i="1"/>
  <c r="H4" i="1" s="1"/>
  <c r="G5" i="1"/>
  <c r="G6" i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G14" i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" i="1"/>
  <c r="H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<sst xmlns="http://schemas.openxmlformats.org/spreadsheetml/2006/main" count="188" uniqueCount="132">
  <si>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</si>
  <si>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</si>
  <si>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</si>
  <si>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</si>
  <si>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</si>
  <si>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</si>
  <si>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</si>
  <si>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</si>
  <si>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</si>
  <si>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</si>
  <si>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</si>
  <si>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</si>
  <si>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</si>
  <si>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</si>
  <si>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</si>
  <si>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</si>
  <si>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</si>
  <si>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</si>
  <si>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</si>
  <si>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</si>
  <si>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</si>
  <si>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</si>
  <si>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</si>
  <si>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</si>
  <si>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</si>
  <si>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</si>
  <si>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Average</t>
  </si>
  <si>
    <t>grade</t>
  </si>
  <si>
    <t>math &amp; sci above 80</t>
  </si>
  <si>
    <t>math above 50:</t>
  </si>
  <si>
    <t>over all average:</t>
  </si>
  <si>
    <t>First Name</t>
  </si>
  <si>
    <t>Uppercase Name</t>
  </si>
  <si>
    <t>Lowercase Name</t>
  </si>
  <si>
    <t>Days Since Enrollment</t>
  </si>
  <si>
    <t>Pass Threshold</t>
  </si>
  <si>
    <t>Pass Status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</si>
  <si>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</si>
  <si>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</si>
  <si>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</si>
  <si>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</si>
  <si>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</si>
  <si>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</si>
  <si>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</si>
  <si>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</si>
  <si>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</si>
  <si>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</si>
  <si>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</si>
  <si>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</si>
  <si>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</si>
  <si>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</si>
  <si>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</si>
  <si>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</si>
  <si>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</si>
  <si>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</si>
  <si>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</si>
  <si>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</si>
  <si>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</si>
  <si>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</si>
  <si>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</si>
  <si>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</si>
  <si>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</si>
  <si>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</si>
  <si>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</si>
  <si>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</si>
  <si>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</si>
  <si>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</si>
  <si>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</si>
  <si>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</si>
  <si>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</si>
  <si>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</si>
  <si>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</si>
  <si>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fatched</t>
  </si>
  <si>
    <t>fatch student id</t>
  </si>
  <si>
    <t>student above 80</t>
  </si>
  <si>
    <t>Compute discount</t>
  </si>
  <si>
    <t>sum of product</t>
  </si>
  <si>
    <t>region</t>
  </si>
  <si>
    <t>product</t>
  </si>
  <si>
    <t>Product code</t>
  </si>
  <si>
    <t>Sales value</t>
  </si>
  <si>
    <t>Producr sales</t>
  </si>
  <si>
    <t>keyboard</t>
  </si>
  <si>
    <t>Xmatch</t>
  </si>
  <si>
    <t>Sales Person</t>
  </si>
  <si>
    <t>Month</t>
  </si>
  <si>
    <t>eligibility for discount</t>
  </si>
  <si>
    <t>sum + offset</t>
  </si>
  <si>
    <t>calling amount</t>
  </si>
  <si>
    <t>E2</t>
  </si>
  <si>
    <t>using indirect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</si>
  <si>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</si>
  <si>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</si>
  <si>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</si>
  <si>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</si>
  <si>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</si>
  <si>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</si>
  <si>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</si>
  <si>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</si>
  <si>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</si>
  <si>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</si>
  <si>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</si>
  <si>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</si>
  <si>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</si>
  <si>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</si>
  <si>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</si>
  <si>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</si>
  <si>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</si>
  <si>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</si>
  <si>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</si>
  <si>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</si>
  <si>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</si>
  <si>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</si>
  <si>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</si>
  <si>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</si>
  <si>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</si>
  <si>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</si>
  <si>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</si>
  <si>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</si>
  <si>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name</t>
  </si>
  <si>
    <t>index+match</t>
  </si>
  <si>
    <t>wanted details</t>
  </si>
  <si>
    <t>Xlookup</t>
  </si>
  <si>
    <t>Rounded Amount</t>
  </si>
  <si>
    <t>Ceiling Amount</t>
  </si>
  <si>
    <t>Floor Amount</t>
  </si>
  <si>
    <t>D2</t>
  </si>
  <si>
    <t>wanted cell</t>
  </si>
  <si>
    <t>indirect</t>
  </si>
  <si>
    <t>days spend</t>
  </si>
  <si>
    <t>Joined Days Spend</t>
  </si>
  <si>
    <t>mmm-yyyy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</si>
</sst>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2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/>
    </xf>
    <xf numFmtId="0" fontId="0" fillId="0" borderId="7" xfId="0" applyBorder="1"/>
    <xf numFmtId="22" fontId="0" fillId="0" borderId="4" xfId="0" applyNumberForma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4" borderId="1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0" fillId="0" borderId="13" xfId="0" applyBorder="1"/>
    <xf numFmtId="0" fontId="2" fillId="3" borderId="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3" xfId="0" applyFont="1" applyBorder="1"/>
    <xf numFmtId="0" fontId="3" fillId="0" borderId="0" xfId="0" applyFont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486C-CF7D-4904-9E71-5ED8BDA602A4}">
  <dimension ref="A1:P32"/>
  <sheetViews>
    <sheetView zoomScale="70" zoomScaleNormal="70" workbookViewId="0">
      <selection activeCell="A5" sqref="A5"/>
    </sheetView>
  </sheetViews>
  <sheetFormatPr defaultRowHeight="14.4" x14ac:dyDescent="0.3"/>
  <cols>
    <col min="1" max="1" width="20.77734375" customWidth="1"/>
    <col min="2" max="2" width="15.109375" customWidth="1"/>
    <col min="6" max="6" width="18.77734375" customWidth="1"/>
    <col min="7" max="7" width="16.44140625" customWidth="1"/>
    <col min="8" max="8" width="13.33203125" customWidth="1"/>
    <col min="9" max="9" width="20" customWidth="1"/>
    <col min="10" max="10" width="14.21875" customWidth="1"/>
    <col min="11" max="11" width="17.109375" customWidth="1"/>
    <col min="12" max="12" width="18.5546875" customWidth="1"/>
    <col min="13" max="13" width="22.44140625" customWidth="1"/>
    <col min="14" max="14" width="15.5546875" customWidth="1"/>
    <col min="15" max="15" width="12.44140625" customWidth="1"/>
    <col min="16" max="16" width="19.88671875" customWidth="1"/>
    <col min="17" max="17" width="9" customWidth="1"/>
  </cols>
  <sheetData>
    <row r="1" spans="1:16" ht="15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9" t="s">
        <v>26</v>
      </c>
      <c r="H1" s="9" t="s">
        <v>27</v>
      </c>
      <c r="I1" s="9" t="s">
        <v>28</v>
      </c>
      <c r="J1" s="9" t="s">
        <v>31</v>
      </c>
      <c r="K1" s="9" t="s">
        <v>32</v>
      </c>
      <c r="L1" s="9" t="s">
        <v>33</v>
      </c>
      <c r="M1" s="9" t="s">
        <v>34</v>
      </c>
      <c r="N1" s="9" t="s">
        <v>35</v>
      </c>
      <c r="O1" s="9" t="s">
        <v>36</v>
      </c>
      <c r="P1" s="16" t="s">
        <v>129</v>
      </c>
    </row>
    <row r="2" spans="1:16" ht="15" thickBot="1" x14ac:dyDescent="0.35">
      <c r="A2" s="29">
        <v>1001</v>
      </c>
      <c r="B2" s="2" t="s">
        <v>6</v>
      </c>
      <c r="C2" s="2">
        <v>61</v>
      </c>
      <c r="D2" s="2">
        <v>48</v>
      </c>
      <c r="E2" s="2">
        <v>76</v>
      </c>
      <c r="F2" s="3">
        <v>43101</v>
      </c>
      <c r="G2" s="4">
        <f>AVERAGE(C2:E2)</f>
        <v>61.666666666666664</v>
      </c>
      <c r="H2" s="4" t="str">
        <f>IF(G2&gt;=85, "A", IF(G2&gt;=70, "B", IF(G2&gt;=55, "C", IF(G2&gt;=45, "D", IF(G2&gt;=35, "E", "Fail")))))</f>
        <v>C</v>
      </c>
      <c r="I2" s="19" t="str">
        <f>IF(((C2&gt;80)*(D2&gt;80)),"Yes","NO")</f>
        <v>NO</v>
      </c>
      <c r="J2" s="4" t="str">
        <f>LEFT(B2,FIND(" ",B2&amp;" ")-1)</f>
        <v>Student</v>
      </c>
      <c r="K2" s="4" t="str">
        <f>UPPER(B2)</f>
        <v>STUDENT 1</v>
      </c>
      <c r="L2" s="4" t="str">
        <f>LOWER(B2)</f>
        <v>student 1</v>
      </c>
      <c r="M2" s="4">
        <f ca="1">IF(F2&gt;TODAY(),"Future Enrollment",TODAY()-F2)</f>
        <v>3223</v>
      </c>
      <c r="N2" s="26">
        <v>35</v>
      </c>
      <c r="O2" s="4" t="str">
        <f>IF(G2&gt;=$N$2,"Pass","Fail")</f>
        <v>Pass</v>
      </c>
      <c r="P2" s="4">
        <f ca="1">IF(F2&gt;TODAY(),"Future Enrollment",TODAY()-F2)</f>
        <v>3223</v>
      </c>
    </row>
    <row r="3" spans="1:16" ht="15" thickBot="1" x14ac:dyDescent="0.35">
      <c r="A3" s="29">
        <v>1002</v>
      </c>
      <c r="B3" s="2" t="s">
        <v>7</v>
      </c>
      <c r="C3" s="2">
        <v>78</v>
      </c>
      <c r="D3" s="2">
        <v>76</v>
      </c>
      <c r="E3" s="2">
        <v>70</v>
      </c>
      <c r="F3" s="3">
        <v>43281</v>
      </c>
      <c r="G3" s="4">
        <f t="shared" ref="G3:G21" si="0">AVERAGE(C3:E3)</f>
        <v>74.666666666666671</v>
      </c>
      <c r="H3" s="4" t="str">
        <f t="shared" ref="H3:H21" si="1">IF(G3&gt;=85, "A", IF(G3&gt;=70, "B", IF(G3&gt;=55, "C", IF(G3&gt;=45, "D", IF(G3&gt;=35, "E", "Fail")))))</f>
        <v>B</v>
      </c>
      <c r="I3" s="19" t="str">
        <f t="shared" ref="I3:I21" si="2">IF(((C3&gt;80)*(D3&gt;80)),"Yes","NO")</f>
        <v>NO</v>
      </c>
      <c r="J3" s="4" t="str">
        <f t="shared" ref="J3:J21" si="3">LEFT(B3,FIND(" ",B3&amp;" ")-1)</f>
        <v>Student</v>
      </c>
      <c r="K3" s="4" t="str">
        <f t="shared" ref="K3:K21" si="4">UPPER(B3)</f>
        <v>STUDENT 2</v>
      </c>
      <c r="L3" s="4" t="str">
        <f t="shared" ref="L3:L21" si="5">LOWER(B3)</f>
        <v>student 2</v>
      </c>
      <c r="M3" s="4">
        <f t="shared" ref="M3:M21" ca="1" si="6">IF(F3&gt;TODAY(),"Future Enrollment",TODAY()-F3)</f>
        <v>3043</v>
      </c>
      <c r="N3" s="27"/>
      <c r="O3" s="4" t="str">
        <f t="shared" ref="O3:O21" si="7">IF(G3&gt;=$N$2,"Pass","Fail")</f>
        <v>Pass</v>
      </c>
      <c r="P3" s="4">
        <f t="shared" ref="P3:P21" ca="1" si="8">IF(F3&gt;TODAY(),"Future Enrollment",TODAY()-F3)</f>
        <v>3043</v>
      </c>
    </row>
    <row r="4" spans="1:16" ht="15" thickBot="1" x14ac:dyDescent="0.35">
      <c r="A4" s="29">
        <v>1003</v>
      </c>
      <c r="B4" s="2" t="s">
        <v>8</v>
      </c>
      <c r="C4" s="2">
        <v>97</v>
      </c>
      <c r="D4" s="2">
        <v>60</v>
      </c>
      <c r="E4" s="2">
        <v>51</v>
      </c>
      <c r="F4" s="3">
        <v>43461</v>
      </c>
      <c r="G4" s="4">
        <f t="shared" si="0"/>
        <v>69.333333333333329</v>
      </c>
      <c r="H4" s="4" t="str">
        <f t="shared" si="1"/>
        <v>C</v>
      </c>
      <c r="I4" s="19" t="str">
        <f t="shared" si="2"/>
        <v>NO</v>
      </c>
      <c r="J4" s="4" t="str">
        <f t="shared" si="3"/>
        <v>Student</v>
      </c>
      <c r="K4" s="4" t="str">
        <f t="shared" si="4"/>
        <v>STUDENT 3</v>
      </c>
      <c r="L4" s="4" t="str">
        <f t="shared" si="5"/>
        <v>student 3</v>
      </c>
      <c r="M4" s="4">
        <f t="shared" ca="1" si="6"/>
        <v>2863</v>
      </c>
      <c r="N4" s="27"/>
      <c r="O4" s="4" t="str">
        <f t="shared" si="7"/>
        <v>Pass</v>
      </c>
      <c r="P4" s="4">
        <f t="shared" ca="1" si="8"/>
        <v>2863</v>
      </c>
    </row>
    <row r="5" spans="1:16" ht="15" thickBot="1" x14ac:dyDescent="0.35">
      <c r="A5" s="29">
        <v>1004</v>
      </c>
      <c r="B5" s="2" t="s">
        <v>9</v>
      </c>
      <c r="C5" s="2">
        <v>74</v>
      </c>
      <c r="D5" s="2">
        <v>55</v>
      </c>
      <c r="E5" s="2">
        <v>46</v>
      </c>
      <c r="F5" s="3">
        <v>43641</v>
      </c>
      <c r="G5" s="4">
        <f t="shared" si="0"/>
        <v>58.333333333333336</v>
      </c>
      <c r="H5" s="4" t="str">
        <f t="shared" si="1"/>
        <v>C</v>
      </c>
      <c r="I5" s="19" t="str">
        <f t="shared" si="2"/>
        <v>NO</v>
      </c>
      <c r="J5" s="4" t="str">
        <f t="shared" si="3"/>
        <v>Student</v>
      </c>
      <c r="K5" s="4" t="str">
        <f t="shared" si="4"/>
        <v>STUDENT 4</v>
      </c>
      <c r="L5" s="4" t="str">
        <f t="shared" si="5"/>
        <v>student 4</v>
      </c>
      <c r="M5" s="4">
        <f t="shared" ca="1" si="6"/>
        <v>2683</v>
      </c>
      <c r="N5" s="27"/>
      <c r="O5" s="4" t="str">
        <f t="shared" si="7"/>
        <v>Pass</v>
      </c>
      <c r="P5" s="4">
        <f t="shared" ca="1" si="8"/>
        <v>2683</v>
      </c>
    </row>
    <row r="6" spans="1:16" ht="15" thickBot="1" x14ac:dyDescent="0.35">
      <c r="A6" s="29">
        <v>1005</v>
      </c>
      <c r="B6" s="2" t="s">
        <v>10</v>
      </c>
      <c r="C6" s="2">
        <v>68</v>
      </c>
      <c r="D6" s="2">
        <v>74</v>
      </c>
      <c r="E6" s="2">
        <v>84</v>
      </c>
      <c r="F6" s="3">
        <v>43821</v>
      </c>
      <c r="G6" s="4">
        <f t="shared" si="0"/>
        <v>75.333333333333329</v>
      </c>
      <c r="H6" s="4" t="str">
        <f t="shared" si="1"/>
        <v>B</v>
      </c>
      <c r="I6" s="19" t="str">
        <f t="shared" si="2"/>
        <v>NO</v>
      </c>
      <c r="J6" s="4" t="str">
        <f t="shared" si="3"/>
        <v>Student</v>
      </c>
      <c r="K6" s="4" t="str">
        <f t="shared" si="4"/>
        <v>STUDENT 5</v>
      </c>
      <c r="L6" s="4" t="str">
        <f t="shared" si="5"/>
        <v>student 5</v>
      </c>
      <c r="M6" s="4">
        <f t="shared" ca="1" si="6"/>
        <v>2503</v>
      </c>
      <c r="N6" s="27"/>
      <c r="O6" s="4" t="str">
        <f t="shared" si="7"/>
        <v>Pass</v>
      </c>
      <c r="P6" s="4">
        <f t="shared" ca="1" si="8"/>
        <v>2503</v>
      </c>
    </row>
    <row r="7" spans="1:16" ht="15" thickBot="1" x14ac:dyDescent="0.35">
      <c r="A7" s="29">
        <v>1006</v>
      </c>
      <c r="B7" s="2" t="s">
        <v>11</v>
      </c>
      <c r="C7" s="2">
        <v>80</v>
      </c>
      <c r="D7" s="2">
        <v>70</v>
      </c>
      <c r="E7" s="2">
        <v>65</v>
      </c>
      <c r="F7" s="3">
        <v>44001</v>
      </c>
      <c r="G7" s="4">
        <f t="shared" si="0"/>
        <v>71.666666666666671</v>
      </c>
      <c r="H7" s="4" t="str">
        <f t="shared" si="1"/>
        <v>B</v>
      </c>
      <c r="I7" s="19" t="str">
        <f t="shared" si="2"/>
        <v>NO</v>
      </c>
      <c r="J7" s="4" t="str">
        <f t="shared" si="3"/>
        <v>Student</v>
      </c>
      <c r="K7" s="4" t="str">
        <f t="shared" si="4"/>
        <v>STUDENT 6</v>
      </c>
      <c r="L7" s="4" t="str">
        <f t="shared" si="5"/>
        <v>student 6</v>
      </c>
      <c r="M7" s="4">
        <f t="shared" ca="1" si="6"/>
        <v>2323</v>
      </c>
      <c r="N7" s="27"/>
      <c r="O7" s="4" t="str">
        <f t="shared" si="7"/>
        <v>Pass</v>
      </c>
      <c r="P7" s="4">
        <f t="shared" ca="1" si="8"/>
        <v>2323</v>
      </c>
    </row>
    <row r="8" spans="1:16" ht="15" thickBot="1" x14ac:dyDescent="0.35">
      <c r="A8" s="29">
        <v>1007</v>
      </c>
      <c r="B8" s="2" t="s">
        <v>12</v>
      </c>
      <c r="C8" s="2">
        <v>75</v>
      </c>
      <c r="D8" s="2">
        <v>47</v>
      </c>
      <c r="E8" s="2">
        <v>78</v>
      </c>
      <c r="F8" s="3">
        <v>44181</v>
      </c>
      <c r="G8" s="4">
        <f t="shared" si="0"/>
        <v>66.666666666666671</v>
      </c>
      <c r="H8" s="4" t="str">
        <f t="shared" si="1"/>
        <v>C</v>
      </c>
      <c r="I8" s="19" t="str">
        <f t="shared" si="2"/>
        <v>NO</v>
      </c>
      <c r="J8" s="4" t="str">
        <f t="shared" si="3"/>
        <v>Student</v>
      </c>
      <c r="K8" s="4" t="str">
        <f t="shared" si="4"/>
        <v>STUDENT 7</v>
      </c>
      <c r="L8" s="4" t="str">
        <f t="shared" si="5"/>
        <v>student 7</v>
      </c>
      <c r="M8" s="4">
        <f t="shared" ca="1" si="6"/>
        <v>2143</v>
      </c>
      <c r="N8" s="27"/>
      <c r="O8" s="4" t="str">
        <f t="shared" si="7"/>
        <v>Pass</v>
      </c>
      <c r="P8" s="4">
        <f t="shared" ca="1" si="8"/>
        <v>2143</v>
      </c>
    </row>
    <row r="9" spans="1:16" ht="15" thickBot="1" x14ac:dyDescent="0.35">
      <c r="A9" s="29">
        <v>1008</v>
      </c>
      <c r="B9" s="2" t="s">
        <v>13</v>
      </c>
      <c r="C9" s="2">
        <v>94</v>
      </c>
      <c r="D9" s="2">
        <v>67</v>
      </c>
      <c r="E9" s="2">
        <v>64</v>
      </c>
      <c r="F9" s="3">
        <v>44361</v>
      </c>
      <c r="G9" s="4">
        <f t="shared" si="0"/>
        <v>75</v>
      </c>
      <c r="H9" s="4" t="str">
        <f t="shared" si="1"/>
        <v>B</v>
      </c>
      <c r="I9" s="19" t="str">
        <f t="shared" si="2"/>
        <v>NO</v>
      </c>
      <c r="J9" s="4" t="str">
        <f t="shared" si="3"/>
        <v>Student</v>
      </c>
      <c r="K9" s="4" t="str">
        <f t="shared" si="4"/>
        <v>STUDENT 8</v>
      </c>
      <c r="L9" s="4" t="str">
        <f t="shared" si="5"/>
        <v>student 8</v>
      </c>
      <c r="M9" s="4">
        <f t="shared" ca="1" si="6"/>
        <v>1963</v>
      </c>
      <c r="N9" s="27"/>
      <c r="O9" s="4" t="str">
        <f t="shared" si="7"/>
        <v>Pass</v>
      </c>
      <c r="P9" s="4">
        <f t="shared" ca="1" si="8"/>
        <v>1963</v>
      </c>
    </row>
    <row r="10" spans="1:16" ht="15" thickBot="1" x14ac:dyDescent="0.35">
      <c r="A10" s="29">
        <v>1009</v>
      </c>
      <c r="B10" s="2" t="s">
        <v>14</v>
      </c>
      <c r="C10" s="2">
        <v>41</v>
      </c>
      <c r="D10" s="2">
        <v>75</v>
      </c>
      <c r="E10" s="2">
        <v>56</v>
      </c>
      <c r="F10" s="3">
        <v>44541</v>
      </c>
      <c r="G10" s="4">
        <f t="shared" si="0"/>
        <v>57.333333333333336</v>
      </c>
      <c r="H10" s="4" t="str">
        <f t="shared" si="1"/>
        <v>C</v>
      </c>
      <c r="I10" s="19" t="str">
        <f t="shared" si="2"/>
        <v>NO</v>
      </c>
      <c r="J10" s="4" t="str">
        <f t="shared" si="3"/>
        <v>Student</v>
      </c>
      <c r="K10" s="4" t="str">
        <f t="shared" si="4"/>
        <v>STUDENT 9</v>
      </c>
      <c r="L10" s="4" t="str">
        <f t="shared" si="5"/>
        <v>student 9</v>
      </c>
      <c r="M10" s="4">
        <f t="shared" ca="1" si="6"/>
        <v>1783</v>
      </c>
      <c r="N10" s="27"/>
      <c r="O10" s="4" t="str">
        <f t="shared" si="7"/>
        <v>Pass</v>
      </c>
      <c r="P10" s="4">
        <f t="shared" ca="1" si="8"/>
        <v>1783</v>
      </c>
    </row>
    <row r="11" spans="1:16" ht="15" thickBot="1" x14ac:dyDescent="0.35">
      <c r="A11" s="29">
        <v>1010</v>
      </c>
      <c r="B11" s="2" t="s">
        <v>15</v>
      </c>
      <c r="C11" s="2">
        <v>98</v>
      </c>
      <c r="D11" s="2">
        <v>54</v>
      </c>
      <c r="E11" s="2">
        <v>58</v>
      </c>
      <c r="F11" s="3">
        <v>44721</v>
      </c>
      <c r="G11" s="4">
        <f t="shared" si="0"/>
        <v>70</v>
      </c>
      <c r="H11" s="4" t="str">
        <f t="shared" si="1"/>
        <v>B</v>
      </c>
      <c r="I11" s="19" t="str">
        <f t="shared" si="2"/>
        <v>NO</v>
      </c>
      <c r="J11" s="4" t="str">
        <f t="shared" si="3"/>
        <v>Student</v>
      </c>
      <c r="K11" s="4" t="str">
        <f t="shared" si="4"/>
        <v>STUDENT 10</v>
      </c>
      <c r="L11" s="4" t="str">
        <f t="shared" si="5"/>
        <v>student 10</v>
      </c>
      <c r="M11" s="4">
        <f t="shared" ca="1" si="6"/>
        <v>1603</v>
      </c>
      <c r="N11" s="27"/>
      <c r="O11" s="4" t="str">
        <f t="shared" si="7"/>
        <v>Pass</v>
      </c>
      <c r="P11" s="4">
        <f t="shared" ca="1" si="8"/>
        <v>1603</v>
      </c>
    </row>
    <row r="12" spans="1:16" ht="15" thickBot="1" x14ac:dyDescent="0.35">
      <c r="A12" s="29">
        <v>1011</v>
      </c>
      <c r="B12" s="2" t="s">
        <v>16</v>
      </c>
      <c r="C12" s="2">
        <v>73</v>
      </c>
      <c r="D12" s="2">
        <v>79</v>
      </c>
      <c r="E12" s="2">
        <v>53</v>
      </c>
      <c r="F12" s="3">
        <v>44901</v>
      </c>
      <c r="G12" s="4">
        <f t="shared" si="0"/>
        <v>68.333333333333329</v>
      </c>
      <c r="H12" s="4" t="str">
        <f t="shared" si="1"/>
        <v>C</v>
      </c>
      <c r="I12" s="19" t="str">
        <f t="shared" si="2"/>
        <v>NO</v>
      </c>
      <c r="J12" s="4" t="str">
        <f t="shared" si="3"/>
        <v>Student</v>
      </c>
      <c r="K12" s="4" t="str">
        <f t="shared" si="4"/>
        <v>STUDENT 11</v>
      </c>
      <c r="L12" s="4" t="str">
        <f t="shared" si="5"/>
        <v>student 11</v>
      </c>
      <c r="M12" s="4">
        <f t="shared" ca="1" si="6"/>
        <v>1423</v>
      </c>
      <c r="N12" s="27"/>
      <c r="O12" s="4" t="str">
        <f t="shared" si="7"/>
        <v>Pass</v>
      </c>
      <c r="P12" s="4">
        <f t="shared" ca="1" si="8"/>
        <v>1423</v>
      </c>
    </row>
    <row r="13" spans="1:16" ht="15" thickBot="1" x14ac:dyDescent="0.35">
      <c r="A13" s="29">
        <v>1012</v>
      </c>
      <c r="B13" s="2" t="s">
        <v>17</v>
      </c>
      <c r="C13" s="2">
        <v>85</v>
      </c>
      <c r="D13" s="2">
        <v>89</v>
      </c>
      <c r="E13" s="2">
        <v>79</v>
      </c>
      <c r="F13" s="3">
        <v>45081</v>
      </c>
      <c r="G13" s="4">
        <f t="shared" si="0"/>
        <v>84.333333333333329</v>
      </c>
      <c r="H13" s="4" t="str">
        <f t="shared" si="1"/>
        <v>B</v>
      </c>
      <c r="I13" s="20" t="str">
        <f t="shared" si="2"/>
        <v>Yes</v>
      </c>
      <c r="J13" s="4" t="str">
        <f t="shared" si="3"/>
        <v>Student</v>
      </c>
      <c r="K13" s="4" t="str">
        <f t="shared" si="4"/>
        <v>STUDENT 12</v>
      </c>
      <c r="L13" s="4" t="str">
        <f t="shared" si="5"/>
        <v>student 12</v>
      </c>
      <c r="M13" s="4">
        <f t="shared" ca="1" si="6"/>
        <v>1243</v>
      </c>
      <c r="N13" s="27"/>
      <c r="O13" s="4" t="str">
        <f t="shared" si="7"/>
        <v>Pass</v>
      </c>
      <c r="P13" s="4">
        <f t="shared" ca="1" si="8"/>
        <v>1243</v>
      </c>
    </row>
    <row r="14" spans="1:16" ht="15" thickBot="1" x14ac:dyDescent="0.35">
      <c r="A14" s="29">
        <v>1013</v>
      </c>
      <c r="B14" s="2" t="s">
        <v>18</v>
      </c>
      <c r="C14" s="2">
        <v>98</v>
      </c>
      <c r="D14" s="2">
        <v>90</v>
      </c>
      <c r="E14" s="2">
        <v>97</v>
      </c>
      <c r="F14" s="3">
        <v>45261</v>
      </c>
      <c r="G14" s="4">
        <f t="shared" si="0"/>
        <v>95</v>
      </c>
      <c r="H14" s="4" t="str">
        <f t="shared" si="1"/>
        <v>A</v>
      </c>
      <c r="I14" s="20" t="str">
        <f t="shared" si="2"/>
        <v>Yes</v>
      </c>
      <c r="J14" s="4" t="str">
        <f t="shared" si="3"/>
        <v>Student</v>
      </c>
      <c r="K14" s="4" t="str">
        <f t="shared" si="4"/>
        <v>STUDENT 13</v>
      </c>
      <c r="L14" s="4" t="str">
        <f t="shared" si="5"/>
        <v>student 13</v>
      </c>
      <c r="M14" s="4">
        <f t="shared" ca="1" si="6"/>
        <v>1063</v>
      </c>
      <c r="N14" s="27"/>
      <c r="O14" s="4" t="str">
        <f t="shared" si="7"/>
        <v>Pass</v>
      </c>
      <c r="P14" s="4">
        <f t="shared" ca="1" si="8"/>
        <v>1063</v>
      </c>
    </row>
    <row r="15" spans="1:16" ht="15" thickBot="1" x14ac:dyDescent="0.35">
      <c r="A15" s="29">
        <v>1014</v>
      </c>
      <c r="B15" s="2" t="s">
        <v>19</v>
      </c>
      <c r="C15" s="2">
        <v>93</v>
      </c>
      <c r="D15" s="2">
        <v>40</v>
      </c>
      <c r="E15" s="2">
        <v>44</v>
      </c>
      <c r="F15" s="3">
        <v>45441</v>
      </c>
      <c r="G15" s="4">
        <f t="shared" si="0"/>
        <v>59</v>
      </c>
      <c r="H15" s="4" t="str">
        <f t="shared" si="1"/>
        <v>C</v>
      </c>
      <c r="I15" s="19" t="str">
        <f>IF(((C15&gt;80)*(D15&gt;80)),"Yes","NO")</f>
        <v>NO</v>
      </c>
      <c r="J15" s="4" t="str">
        <f t="shared" si="3"/>
        <v>Student</v>
      </c>
      <c r="K15" s="4" t="str">
        <f t="shared" si="4"/>
        <v>STUDENT 14</v>
      </c>
      <c r="L15" s="4" t="str">
        <f t="shared" si="5"/>
        <v>student 14</v>
      </c>
      <c r="M15" s="4">
        <f t="shared" ca="1" si="6"/>
        <v>883</v>
      </c>
      <c r="N15" s="27"/>
      <c r="O15" s="4" t="str">
        <f t="shared" si="7"/>
        <v>Pass</v>
      </c>
      <c r="P15" s="4">
        <f t="shared" ca="1" si="8"/>
        <v>883</v>
      </c>
    </row>
    <row r="16" spans="1:16" ht="15" thickBot="1" x14ac:dyDescent="0.35">
      <c r="A16" s="29">
        <v>1015</v>
      </c>
      <c r="B16" s="2" t="s">
        <v>20</v>
      </c>
      <c r="C16" s="2">
        <v>70</v>
      </c>
      <c r="D16" s="2">
        <v>51</v>
      </c>
      <c r="E16" s="2">
        <v>75</v>
      </c>
      <c r="F16" s="3">
        <v>45621</v>
      </c>
      <c r="G16" s="4">
        <f t="shared" si="0"/>
        <v>65.333333333333329</v>
      </c>
      <c r="H16" s="4" t="str">
        <f t="shared" si="1"/>
        <v>C</v>
      </c>
      <c r="I16" s="19" t="str">
        <f t="shared" si="2"/>
        <v>NO</v>
      </c>
      <c r="J16" s="4" t="str">
        <f t="shared" si="3"/>
        <v>Student</v>
      </c>
      <c r="K16" s="4" t="str">
        <f t="shared" si="4"/>
        <v>STUDENT 15</v>
      </c>
      <c r="L16" s="4" t="str">
        <f t="shared" si="5"/>
        <v>student 15</v>
      </c>
      <c r="M16" s="4">
        <f t="shared" ca="1" si="6"/>
        <v>703</v>
      </c>
      <c r="N16" s="27"/>
      <c r="O16" s="4" t="str">
        <f t="shared" si="7"/>
        <v>Pass</v>
      </c>
      <c r="P16" s="4">
        <f t="shared" ca="1" si="8"/>
        <v>703</v>
      </c>
    </row>
    <row r="17" spans="1:16" ht="15" thickBot="1" x14ac:dyDescent="0.35">
      <c r="A17" s="29">
        <v>1016</v>
      </c>
      <c r="B17" s="2" t="s">
        <v>21</v>
      </c>
      <c r="C17" s="2">
        <v>98</v>
      </c>
      <c r="D17" s="2">
        <v>77</v>
      </c>
      <c r="E17" s="2">
        <v>60</v>
      </c>
      <c r="F17" s="3">
        <v>45801</v>
      </c>
      <c r="G17" s="4">
        <f t="shared" si="0"/>
        <v>78.333333333333329</v>
      </c>
      <c r="H17" s="4" t="str">
        <f t="shared" si="1"/>
        <v>B</v>
      </c>
      <c r="I17" s="19" t="str">
        <f t="shared" si="2"/>
        <v>NO</v>
      </c>
      <c r="J17" s="4" t="str">
        <f t="shared" si="3"/>
        <v>Student</v>
      </c>
      <c r="K17" s="4" t="str">
        <f t="shared" si="4"/>
        <v>STUDENT 16</v>
      </c>
      <c r="L17" s="4" t="str">
        <f t="shared" si="5"/>
        <v>student 16</v>
      </c>
      <c r="M17" s="4">
        <f t="shared" ca="1" si="6"/>
        <v>523</v>
      </c>
      <c r="N17" s="27"/>
      <c r="O17" s="4" t="str">
        <f t="shared" si="7"/>
        <v>Pass</v>
      </c>
      <c r="P17" s="4">
        <f t="shared" ca="1" si="8"/>
        <v>523</v>
      </c>
    </row>
    <row r="18" spans="1:16" ht="15" thickBot="1" x14ac:dyDescent="0.35">
      <c r="A18" s="29">
        <v>1017</v>
      </c>
      <c r="B18" s="2" t="s">
        <v>22</v>
      </c>
      <c r="C18" s="2">
        <v>66</v>
      </c>
      <c r="D18" s="2">
        <v>59</v>
      </c>
      <c r="E18" s="2">
        <v>40</v>
      </c>
      <c r="F18" s="3">
        <v>45981</v>
      </c>
      <c r="G18" s="4">
        <f t="shared" si="0"/>
        <v>55</v>
      </c>
      <c r="H18" s="4" t="str">
        <f t="shared" si="1"/>
        <v>C</v>
      </c>
      <c r="I18" s="19" t="str">
        <f t="shared" si="2"/>
        <v>NO</v>
      </c>
      <c r="J18" s="4" t="str">
        <f t="shared" si="3"/>
        <v>Student</v>
      </c>
      <c r="K18" s="4" t="str">
        <f t="shared" si="4"/>
        <v>STUDENT 17</v>
      </c>
      <c r="L18" s="4" t="str">
        <f t="shared" si="5"/>
        <v>student 17</v>
      </c>
      <c r="M18" s="4">
        <f t="shared" ca="1" si="6"/>
        <v>343</v>
      </c>
      <c r="N18" s="27"/>
      <c r="O18" s="4" t="str">
        <f t="shared" si="7"/>
        <v>Pass</v>
      </c>
      <c r="P18" s="4">
        <f t="shared" ca="1" si="8"/>
        <v>343</v>
      </c>
    </row>
    <row r="19" spans="1:16" ht="15" thickBot="1" x14ac:dyDescent="0.35">
      <c r="A19" s="29">
        <v>1018</v>
      </c>
      <c r="B19" s="2" t="s">
        <v>23</v>
      </c>
      <c r="C19" s="2">
        <v>82</v>
      </c>
      <c r="D19" s="2">
        <v>48</v>
      </c>
      <c r="E19" s="2">
        <v>79</v>
      </c>
      <c r="F19" s="3">
        <v>46161</v>
      </c>
      <c r="G19" s="4">
        <f t="shared" si="0"/>
        <v>69.666666666666671</v>
      </c>
      <c r="H19" s="4" t="str">
        <f t="shared" si="1"/>
        <v>C</v>
      </c>
      <c r="I19" s="19" t="str">
        <f t="shared" si="2"/>
        <v>NO</v>
      </c>
      <c r="J19" s="4" t="str">
        <f t="shared" si="3"/>
        <v>Student</v>
      </c>
      <c r="K19" s="4" t="str">
        <f t="shared" si="4"/>
        <v>STUDENT 18</v>
      </c>
      <c r="L19" s="4" t="str">
        <f t="shared" si="5"/>
        <v>student 18</v>
      </c>
      <c r="M19" s="4">
        <f t="shared" ca="1" si="6"/>
        <v>163</v>
      </c>
      <c r="N19" s="27"/>
      <c r="O19" s="4" t="str">
        <f t="shared" si="7"/>
        <v>Pass</v>
      </c>
      <c r="P19" s="4">
        <f t="shared" ca="1" si="8"/>
        <v>163</v>
      </c>
    </row>
    <row r="20" spans="1:16" ht="15" thickBot="1" x14ac:dyDescent="0.35">
      <c r="A20" s="29">
        <v>1019</v>
      </c>
      <c r="B20" s="2" t="s">
        <v>24</v>
      </c>
      <c r="C20" s="2">
        <v>90</v>
      </c>
      <c r="D20" s="2">
        <v>78</v>
      </c>
      <c r="E20" s="2">
        <v>60</v>
      </c>
      <c r="F20" s="3">
        <v>46341</v>
      </c>
      <c r="G20" s="4">
        <f t="shared" si="0"/>
        <v>76</v>
      </c>
      <c r="H20" s="4" t="str">
        <f t="shared" si="1"/>
        <v>B</v>
      </c>
      <c r="I20" s="19" t="str">
        <f t="shared" si="2"/>
        <v>NO</v>
      </c>
      <c r="J20" s="4" t="str">
        <f t="shared" si="3"/>
        <v>Student</v>
      </c>
      <c r="K20" s="4" t="str">
        <f t="shared" si="4"/>
        <v>STUDENT 19</v>
      </c>
      <c r="L20" s="4" t="str">
        <f t="shared" si="5"/>
        <v>student 19</v>
      </c>
      <c r="M20" s="4" t="str">
        <f t="shared" ca="1" si="6"/>
        <v>Future Enrollment</v>
      </c>
      <c r="N20" s="27"/>
      <c r="O20" s="4" t="str">
        <f t="shared" si="7"/>
        <v>Pass</v>
      </c>
      <c r="P20" s="4" t="str">
        <f t="shared" ca="1" si="8"/>
        <v>Future Enrollment</v>
      </c>
    </row>
    <row r="21" spans="1:16" ht="15" thickBot="1" x14ac:dyDescent="0.35">
      <c r="A21" s="29">
        <v>1020</v>
      </c>
      <c r="B21" s="2" t="s">
        <v>25</v>
      </c>
      <c r="C21" s="2">
        <v>83</v>
      </c>
      <c r="D21" s="2">
        <v>92</v>
      </c>
      <c r="E21" s="2">
        <v>55</v>
      </c>
      <c r="F21" s="3">
        <v>46521</v>
      </c>
      <c r="G21" s="4">
        <f t="shared" si="0"/>
        <v>76.666666666666671</v>
      </c>
      <c r="H21" s="4" t="str">
        <f t="shared" si="1"/>
        <v>B</v>
      </c>
      <c r="I21" s="20" t="str">
        <f t="shared" si="2"/>
        <v>Yes</v>
      </c>
      <c r="J21" s="4" t="str">
        <f t="shared" si="3"/>
        <v>Student</v>
      </c>
      <c r="K21" s="4" t="str">
        <f t="shared" si="4"/>
        <v>STUDENT 20</v>
      </c>
      <c r="L21" s="4" t="str">
        <f t="shared" si="5"/>
        <v>student 20</v>
      </c>
      <c r="M21" s="4" t="str">
        <f t="shared" ca="1" si="6"/>
        <v>Future Enrollment</v>
      </c>
      <c r="N21" s="28"/>
      <c r="O21" s="4" t="str">
        <f t="shared" si="7"/>
        <v>Pass</v>
      </c>
      <c r="P21" s="4" t="str">
        <f t="shared" ca="1" si="8"/>
        <v>Future Enrollment</v>
      </c>
    </row>
    <row r="22" spans="1:16" x14ac:dyDescent="0.3">
      <c r="O22" s="5"/>
    </row>
    <row r="23" spans="1:16" ht="15" thickBot="1" x14ac:dyDescent="0.35"/>
    <row r="24" spans="1:16" ht="15" thickBot="1" x14ac:dyDescent="0.35">
      <c r="A24" s="9" t="s">
        <v>29</v>
      </c>
      <c r="B24" s="22">
        <f>COUNTIFS(C2:C21,"&gt;50")</f>
        <v>19</v>
      </c>
    </row>
    <row r="25" spans="1:16" ht="15" thickBot="1" x14ac:dyDescent="0.35">
      <c r="A25" s="9" t="s">
        <v>30</v>
      </c>
      <c r="B25" s="22">
        <f>COUNTIFS(G2:G21,"&gt;60")</f>
        <v>16</v>
      </c>
    </row>
    <row r="26" spans="1:16" ht="15" thickBot="1" x14ac:dyDescent="0.35">
      <c r="B26" s="25"/>
    </row>
    <row r="27" spans="1:16" ht="15" thickBot="1" x14ac:dyDescent="0.35">
      <c r="A27" s="9" t="s">
        <v>73</v>
      </c>
      <c r="B27" s="22">
        <v>1020</v>
      </c>
    </row>
    <row r="28" spans="1:16" ht="15" thickBot="1" x14ac:dyDescent="0.35">
      <c r="A28" s="9" t="s">
        <v>72</v>
      </c>
      <c r="B28" s="22" t="str">
        <f>IFERROR(VLOOKUP(B27,A1:I21,2,FALSE), "-")</f>
        <v>Student 20</v>
      </c>
    </row>
    <row r="29" spans="1:16" x14ac:dyDescent="0.3">
      <c r="B29" s="25"/>
    </row>
    <row r="30" spans="1:16" ht="15" thickBot="1" x14ac:dyDescent="0.35">
      <c r="B30" s="25"/>
    </row>
    <row r="31" spans="1:16" ht="15" thickBot="1" x14ac:dyDescent="0.35">
      <c r="A31" s="9" t="s">
        <v>74</v>
      </c>
      <c r="B31" s="22" cm="1">
        <f t="array" ref="B31:B32">_xlfn._xlws.FILTER(A2:A21,G2:G21&gt;80,"No students found")</f>
        <v>1012</v>
      </c>
    </row>
    <row r="32" spans="1:16" ht="15" thickBot="1" x14ac:dyDescent="0.35">
      <c r="A32" s="10"/>
      <c r="B32" s="22">
        <v>1013</v>
      </c>
    </row>
  </sheetData>
  <mergeCells count="1">
    <mergeCell ref="N2:N21"/>
  </mergeCells>
  <pageMargins left="0.7" right="0.7" top="0.75" bottom="0.75" header="0.3" footer="0.3"/>
  <pageSetup orientation="portrait" r:id="rId1"/>
  <ignoredErrors>
    <ignoredError sqref="G2:G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798B-7CBF-45D4-A54B-FAA25B7A5CFC}">
  <dimension ref="A1:L47"/>
  <sheetViews>
    <sheetView topLeftCell="A4" zoomScale="55" zoomScaleNormal="55" workbookViewId="0">
      <selection activeCell="C23" sqref="C23"/>
    </sheetView>
  </sheetViews>
  <sheetFormatPr defaultRowHeight="14.4" x14ac:dyDescent="0.3"/>
  <cols>
    <col min="1" max="1" width="14.5546875" customWidth="1"/>
    <col min="2" max="2" width="11.88671875" customWidth="1"/>
    <col min="3" max="3" width="12.44140625" customWidth="1"/>
    <col min="4" max="4" width="15.21875" customWidth="1"/>
    <col min="5" max="5" width="11.44140625" customWidth="1"/>
    <col min="6" max="6" width="18" customWidth="1"/>
    <col min="7" max="7" width="23.44140625" customWidth="1"/>
    <col min="8" max="8" width="26.109375" customWidth="1"/>
    <col min="9" max="9" width="21.77734375" customWidth="1"/>
    <col min="10" max="10" width="17.88671875" customWidth="1"/>
    <col min="11" max="11" width="17.77734375" customWidth="1"/>
    <col min="12" max="12" width="16.77734375" customWidth="1"/>
  </cols>
  <sheetData>
    <row r="1" spans="1:12" ht="15" thickBot="1" x14ac:dyDescent="0.35">
      <c r="A1" s="6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6" t="s">
        <v>75</v>
      </c>
      <c r="H1" s="6" t="s">
        <v>86</v>
      </c>
      <c r="I1" s="6" t="s">
        <v>123</v>
      </c>
      <c r="J1" s="6" t="s">
        <v>124</v>
      </c>
      <c r="K1" s="6" t="s">
        <v>125</v>
      </c>
      <c r="L1" s="15" t="s">
        <v>131</v>
      </c>
    </row>
    <row r="2" spans="1:12" ht="15" thickBot="1" x14ac:dyDescent="0.35">
      <c r="A2" s="1">
        <v>2001</v>
      </c>
      <c r="B2" s="2" t="s">
        <v>43</v>
      </c>
      <c r="C2" s="2" t="s">
        <v>44</v>
      </c>
      <c r="D2" s="2" t="s">
        <v>45</v>
      </c>
      <c r="E2" s="2">
        <v>7048</v>
      </c>
      <c r="F2" s="11">
        <v>44927</v>
      </c>
      <c r="G2" s="13">
        <f>IF(E2&gt;=45000,E2*25%, IF(E2&gt;=35000,E2*20%,IF(E2&gt;=25000,E2*15%,IF(E2&gt;=20000,E2*10%,IF(E2&gt;=15000,E2*5%,IF(E2&gt;=10000,E2*2.5%,0))))))</f>
        <v>0</v>
      </c>
      <c r="H2" s="13" t="str">
        <f>IF((E2&gt;=10000)*(G2&gt;0),"is eligible","is not eligible")</f>
        <v>is not eligible</v>
      </c>
      <c r="I2" s="13">
        <f>ROUND($E2,-2)</f>
        <v>7000</v>
      </c>
      <c r="J2" s="13">
        <f>CEILING(E2,100)</f>
        <v>7100</v>
      </c>
      <c r="K2" s="13">
        <f>FLOOR(E2,100)</f>
        <v>7000</v>
      </c>
      <c r="L2" s="13" t="str">
        <f>TEXT(F2,"mmm-yyyy")</f>
        <v>Jan-2023</v>
      </c>
    </row>
    <row r="3" spans="1:12" ht="15" thickBot="1" x14ac:dyDescent="0.35">
      <c r="A3" s="1">
        <v>2002</v>
      </c>
      <c r="B3" s="2" t="s">
        <v>46</v>
      </c>
      <c r="C3" s="2" t="s">
        <v>47</v>
      </c>
      <c r="D3" s="2" t="s">
        <v>48</v>
      </c>
      <c r="E3" s="2">
        <v>17428</v>
      </c>
      <c r="F3" s="11">
        <v>44942</v>
      </c>
      <c r="G3" s="13">
        <f t="shared" ref="G3:G21" si="0">IF(E3&gt;=45000,E3*25%, IF(E3&gt;=35000,E3*20%,IF(E3&gt;=25000,E3*15%,IF(E3&gt;=20000,E3*10%,IF(E3&gt;=15000,E3*5%,IF(E3&gt;=10000,E3*2.5%,0))))))</f>
        <v>871.40000000000009</v>
      </c>
      <c r="H3" s="13" t="str">
        <f t="shared" ref="H3:H21" si="1">IF((E3&gt;=10000)*(G3&gt;0),"is eligible","is not eligible")</f>
        <v>is eligible</v>
      </c>
      <c r="I3" s="13">
        <f t="shared" ref="I3:I21" si="2">ROUND($E3,-2)</f>
        <v>17400</v>
      </c>
      <c r="J3" s="13">
        <f t="shared" ref="J3:J21" si="3">CEILING(E3,100)</f>
        <v>17500</v>
      </c>
      <c r="K3" s="13">
        <f t="shared" ref="K3:K21" si="4">FLOOR(E3,100)</f>
        <v>17400</v>
      </c>
      <c r="L3" s="13" t="str">
        <f t="shared" ref="L3:L21" si="5">TEXT(F3,"mmm-yyyy")</f>
        <v>Jan-2023</v>
      </c>
    </row>
    <row r="4" spans="1:12" ht="15" thickBot="1" x14ac:dyDescent="0.35">
      <c r="A4" s="1">
        <v>2003</v>
      </c>
      <c r="B4" s="2" t="s">
        <v>49</v>
      </c>
      <c r="C4" s="2" t="s">
        <v>44</v>
      </c>
      <c r="D4" s="2" t="s">
        <v>50</v>
      </c>
      <c r="E4" s="2">
        <v>23672</v>
      </c>
      <c r="F4" s="11">
        <v>44957</v>
      </c>
      <c r="G4" s="13">
        <f t="shared" si="0"/>
        <v>2367.2000000000003</v>
      </c>
      <c r="H4" s="13" t="str">
        <f t="shared" si="1"/>
        <v>is eligible</v>
      </c>
      <c r="I4" s="13">
        <f t="shared" si="2"/>
        <v>23700</v>
      </c>
      <c r="J4" s="13">
        <f t="shared" si="3"/>
        <v>23700</v>
      </c>
      <c r="K4" s="13">
        <f t="shared" si="4"/>
        <v>23600</v>
      </c>
      <c r="L4" s="13" t="str">
        <f t="shared" si="5"/>
        <v>Jan-2023</v>
      </c>
    </row>
    <row r="5" spans="1:12" ht="15" thickBot="1" x14ac:dyDescent="0.35">
      <c r="A5" s="1">
        <v>2004</v>
      </c>
      <c r="B5" s="2" t="s">
        <v>46</v>
      </c>
      <c r="C5" s="2" t="s">
        <v>51</v>
      </c>
      <c r="D5" s="2" t="s">
        <v>52</v>
      </c>
      <c r="E5" s="2">
        <v>5264</v>
      </c>
      <c r="F5" s="11">
        <v>44972</v>
      </c>
      <c r="G5" s="13">
        <f t="shared" si="0"/>
        <v>0</v>
      </c>
      <c r="H5" s="13" t="str">
        <f t="shared" si="1"/>
        <v>is not eligible</v>
      </c>
      <c r="I5" s="13">
        <f t="shared" si="2"/>
        <v>5300</v>
      </c>
      <c r="J5" s="13">
        <f t="shared" si="3"/>
        <v>5300</v>
      </c>
      <c r="K5" s="13">
        <f t="shared" si="4"/>
        <v>5200</v>
      </c>
      <c r="L5" s="13" t="str">
        <f t="shared" si="5"/>
        <v>Feb-2023</v>
      </c>
    </row>
    <row r="6" spans="1:12" ht="15" thickBot="1" x14ac:dyDescent="0.35">
      <c r="A6" s="1">
        <v>2005</v>
      </c>
      <c r="B6" s="2" t="s">
        <v>43</v>
      </c>
      <c r="C6" s="2" t="s">
        <v>53</v>
      </c>
      <c r="D6" s="2" t="s">
        <v>54</v>
      </c>
      <c r="E6" s="2">
        <v>43388</v>
      </c>
      <c r="F6" s="11">
        <v>44987</v>
      </c>
      <c r="G6" s="13">
        <f t="shared" si="0"/>
        <v>8677.6</v>
      </c>
      <c r="H6" s="13" t="str">
        <f t="shared" si="1"/>
        <v>is eligible</v>
      </c>
      <c r="I6" s="13">
        <f t="shared" si="2"/>
        <v>43400</v>
      </c>
      <c r="J6" s="13">
        <f t="shared" si="3"/>
        <v>43400</v>
      </c>
      <c r="K6" s="13">
        <f t="shared" si="4"/>
        <v>43300</v>
      </c>
      <c r="L6" s="13" t="str">
        <f t="shared" si="5"/>
        <v>Mar-2023</v>
      </c>
    </row>
    <row r="7" spans="1:12" ht="15" thickBot="1" x14ac:dyDescent="0.35">
      <c r="A7" s="1">
        <v>2006</v>
      </c>
      <c r="B7" s="2" t="s">
        <v>49</v>
      </c>
      <c r="C7" s="2" t="s">
        <v>53</v>
      </c>
      <c r="D7" s="2" t="s">
        <v>55</v>
      </c>
      <c r="E7" s="2">
        <v>19757</v>
      </c>
      <c r="F7" s="11">
        <v>45002</v>
      </c>
      <c r="G7" s="13">
        <f t="shared" si="0"/>
        <v>987.85</v>
      </c>
      <c r="H7" s="13" t="str">
        <f t="shared" si="1"/>
        <v>is eligible</v>
      </c>
      <c r="I7" s="13">
        <f t="shared" si="2"/>
        <v>19800</v>
      </c>
      <c r="J7" s="13">
        <f t="shared" si="3"/>
        <v>19800</v>
      </c>
      <c r="K7" s="13">
        <f t="shared" si="4"/>
        <v>19700</v>
      </c>
      <c r="L7" s="13" t="str">
        <f t="shared" si="5"/>
        <v>Mar-2023</v>
      </c>
    </row>
    <row r="8" spans="1:12" ht="15" thickBot="1" x14ac:dyDescent="0.35">
      <c r="A8" s="1">
        <v>2007</v>
      </c>
      <c r="B8" s="2" t="s">
        <v>49</v>
      </c>
      <c r="C8" s="2" t="s">
        <v>51</v>
      </c>
      <c r="D8" s="2" t="s">
        <v>56</v>
      </c>
      <c r="E8" s="2">
        <v>32058</v>
      </c>
      <c r="F8" s="11">
        <v>45017</v>
      </c>
      <c r="G8" s="13">
        <f t="shared" si="0"/>
        <v>4808.7</v>
      </c>
      <c r="H8" s="13" t="str">
        <f t="shared" si="1"/>
        <v>is eligible</v>
      </c>
      <c r="I8" s="13">
        <f t="shared" si="2"/>
        <v>32100</v>
      </c>
      <c r="J8" s="13">
        <f t="shared" si="3"/>
        <v>32100</v>
      </c>
      <c r="K8" s="13">
        <f t="shared" si="4"/>
        <v>32000</v>
      </c>
      <c r="L8" s="13" t="str">
        <f t="shared" si="5"/>
        <v>Apr-2023</v>
      </c>
    </row>
    <row r="9" spans="1:12" ht="15" thickBot="1" x14ac:dyDescent="0.35">
      <c r="A9" s="1">
        <v>2008</v>
      </c>
      <c r="B9" s="2" t="s">
        <v>43</v>
      </c>
      <c r="C9" s="2" t="s">
        <v>51</v>
      </c>
      <c r="D9" s="2" t="s">
        <v>57</v>
      </c>
      <c r="E9" s="2">
        <v>46429</v>
      </c>
      <c r="F9" s="11">
        <v>45032</v>
      </c>
      <c r="G9" s="13">
        <f t="shared" si="0"/>
        <v>11607.25</v>
      </c>
      <c r="H9" s="13" t="str">
        <f t="shared" si="1"/>
        <v>is eligible</v>
      </c>
      <c r="I9" s="13">
        <f t="shared" si="2"/>
        <v>46400</v>
      </c>
      <c r="J9" s="13">
        <f t="shared" si="3"/>
        <v>46500</v>
      </c>
      <c r="K9" s="13">
        <f t="shared" si="4"/>
        <v>46400</v>
      </c>
      <c r="L9" s="13" t="str">
        <f t="shared" si="5"/>
        <v>Apr-2023</v>
      </c>
    </row>
    <row r="10" spans="1:12" ht="15" thickBot="1" x14ac:dyDescent="0.35">
      <c r="A10" s="1">
        <v>2009</v>
      </c>
      <c r="B10" s="2" t="s">
        <v>46</v>
      </c>
      <c r="C10" s="2" t="s">
        <v>51</v>
      </c>
      <c r="D10" s="2" t="s">
        <v>58</v>
      </c>
      <c r="E10" s="2">
        <v>19746</v>
      </c>
      <c r="F10" s="11">
        <v>45047</v>
      </c>
      <c r="G10" s="13">
        <f t="shared" si="0"/>
        <v>987.30000000000007</v>
      </c>
      <c r="H10" s="13" t="str">
        <f t="shared" si="1"/>
        <v>is eligible</v>
      </c>
      <c r="I10" s="13">
        <f t="shared" si="2"/>
        <v>19700</v>
      </c>
      <c r="J10" s="13">
        <f t="shared" si="3"/>
        <v>19800</v>
      </c>
      <c r="K10" s="13">
        <f t="shared" si="4"/>
        <v>19700</v>
      </c>
      <c r="L10" s="13" t="str">
        <f t="shared" si="5"/>
        <v>May-2023</v>
      </c>
    </row>
    <row r="11" spans="1:12" ht="15" thickBot="1" x14ac:dyDescent="0.35">
      <c r="A11" s="1">
        <v>2010</v>
      </c>
      <c r="B11" s="2" t="s">
        <v>43</v>
      </c>
      <c r="C11" s="2" t="s">
        <v>44</v>
      </c>
      <c r="D11" s="2" t="s">
        <v>59</v>
      </c>
      <c r="E11" s="2">
        <v>35185</v>
      </c>
      <c r="F11" s="11">
        <v>45062</v>
      </c>
      <c r="G11" s="13">
        <f t="shared" si="0"/>
        <v>7037</v>
      </c>
      <c r="H11" s="13" t="str">
        <f t="shared" si="1"/>
        <v>is eligible</v>
      </c>
      <c r="I11" s="13">
        <f t="shared" si="2"/>
        <v>35200</v>
      </c>
      <c r="J11" s="13">
        <f t="shared" si="3"/>
        <v>35200</v>
      </c>
      <c r="K11" s="13">
        <f t="shared" si="4"/>
        <v>35100</v>
      </c>
      <c r="L11" s="13" t="str">
        <f t="shared" si="5"/>
        <v>May-2023</v>
      </c>
    </row>
    <row r="12" spans="1:12" ht="15" thickBot="1" x14ac:dyDescent="0.35">
      <c r="A12" s="1">
        <v>2011</v>
      </c>
      <c r="B12" s="2" t="s">
        <v>43</v>
      </c>
      <c r="C12" s="2" t="s">
        <v>51</v>
      </c>
      <c r="D12" s="2" t="s">
        <v>60</v>
      </c>
      <c r="E12" s="2">
        <v>33920</v>
      </c>
      <c r="F12" s="11">
        <v>45077</v>
      </c>
      <c r="G12" s="13">
        <f t="shared" si="0"/>
        <v>5088</v>
      </c>
      <c r="H12" s="13" t="str">
        <f t="shared" si="1"/>
        <v>is eligible</v>
      </c>
      <c r="I12" s="13">
        <f t="shared" si="2"/>
        <v>33900</v>
      </c>
      <c r="J12" s="13">
        <f t="shared" si="3"/>
        <v>34000</v>
      </c>
      <c r="K12" s="13">
        <f t="shared" si="4"/>
        <v>33900</v>
      </c>
      <c r="L12" s="13" t="str">
        <f t="shared" si="5"/>
        <v>May-2023</v>
      </c>
    </row>
    <row r="13" spans="1:12" ht="15" thickBot="1" x14ac:dyDescent="0.35">
      <c r="A13" s="1">
        <v>2012</v>
      </c>
      <c r="B13" s="2" t="s">
        <v>61</v>
      </c>
      <c r="C13" s="2" t="s">
        <v>53</v>
      </c>
      <c r="D13" s="2" t="s">
        <v>62</v>
      </c>
      <c r="E13" s="2">
        <v>35611</v>
      </c>
      <c r="F13" s="11">
        <v>45092</v>
      </c>
      <c r="G13" s="13">
        <f t="shared" si="0"/>
        <v>7122.2000000000007</v>
      </c>
      <c r="H13" s="13" t="str">
        <f t="shared" si="1"/>
        <v>is eligible</v>
      </c>
      <c r="I13" s="13">
        <f t="shared" si="2"/>
        <v>35600</v>
      </c>
      <c r="J13" s="13">
        <f t="shared" si="3"/>
        <v>35700</v>
      </c>
      <c r="K13" s="13">
        <f t="shared" si="4"/>
        <v>35600</v>
      </c>
      <c r="L13" s="13" t="str">
        <f t="shared" si="5"/>
        <v>Jun-2023</v>
      </c>
    </row>
    <row r="14" spans="1:12" ht="15" thickBot="1" x14ac:dyDescent="0.35">
      <c r="A14" s="1">
        <v>2013</v>
      </c>
      <c r="B14" s="2" t="s">
        <v>63</v>
      </c>
      <c r="C14" s="2" t="s">
        <v>51</v>
      </c>
      <c r="D14" s="2" t="s">
        <v>64</v>
      </c>
      <c r="E14" s="2">
        <v>15560</v>
      </c>
      <c r="F14" s="11">
        <v>45107</v>
      </c>
      <c r="G14" s="13">
        <f t="shared" si="0"/>
        <v>778</v>
      </c>
      <c r="H14" s="13" t="str">
        <f t="shared" si="1"/>
        <v>is eligible</v>
      </c>
      <c r="I14" s="13">
        <f t="shared" si="2"/>
        <v>15600</v>
      </c>
      <c r="J14" s="13">
        <f t="shared" si="3"/>
        <v>15600</v>
      </c>
      <c r="K14" s="13">
        <f t="shared" si="4"/>
        <v>15500</v>
      </c>
      <c r="L14" s="13" t="str">
        <f t="shared" si="5"/>
        <v>Jun-2023</v>
      </c>
    </row>
    <row r="15" spans="1:12" ht="15" thickBot="1" x14ac:dyDescent="0.35">
      <c r="A15" s="1">
        <v>2014</v>
      </c>
      <c r="B15" s="2" t="s">
        <v>63</v>
      </c>
      <c r="C15" s="2" t="s">
        <v>44</v>
      </c>
      <c r="D15" s="2" t="s">
        <v>65</v>
      </c>
      <c r="E15" s="2">
        <v>7283</v>
      </c>
      <c r="F15" s="11">
        <v>45122</v>
      </c>
      <c r="G15" s="13">
        <f t="shared" si="0"/>
        <v>0</v>
      </c>
      <c r="H15" s="13" t="str">
        <f t="shared" si="1"/>
        <v>is not eligible</v>
      </c>
      <c r="I15" s="13">
        <f t="shared" si="2"/>
        <v>7300</v>
      </c>
      <c r="J15" s="13">
        <f t="shared" si="3"/>
        <v>7300</v>
      </c>
      <c r="K15" s="13">
        <f t="shared" si="4"/>
        <v>7200</v>
      </c>
      <c r="L15" s="13" t="str">
        <f t="shared" si="5"/>
        <v>Jul-2023</v>
      </c>
    </row>
    <row r="16" spans="1:12" ht="15" thickBot="1" x14ac:dyDescent="0.35">
      <c r="A16" s="1">
        <v>2015</v>
      </c>
      <c r="B16" s="2" t="s">
        <v>63</v>
      </c>
      <c r="C16" s="2" t="s">
        <v>51</v>
      </c>
      <c r="D16" s="2" t="s">
        <v>66</v>
      </c>
      <c r="E16" s="2">
        <v>15678</v>
      </c>
      <c r="F16" s="11">
        <v>45137</v>
      </c>
      <c r="G16" s="13">
        <f t="shared" si="0"/>
        <v>783.90000000000009</v>
      </c>
      <c r="H16" s="13" t="str">
        <f t="shared" si="1"/>
        <v>is eligible</v>
      </c>
      <c r="I16" s="13">
        <f t="shared" si="2"/>
        <v>15700</v>
      </c>
      <c r="J16" s="13">
        <f t="shared" si="3"/>
        <v>15700</v>
      </c>
      <c r="K16" s="13">
        <f t="shared" si="4"/>
        <v>15600</v>
      </c>
      <c r="L16" s="13" t="str">
        <f t="shared" si="5"/>
        <v>Jul-2023</v>
      </c>
    </row>
    <row r="17" spans="1:12" ht="15" thickBot="1" x14ac:dyDescent="0.35">
      <c r="A17" s="1">
        <v>2016</v>
      </c>
      <c r="B17" s="2" t="s">
        <v>49</v>
      </c>
      <c r="C17" s="2" t="s">
        <v>51</v>
      </c>
      <c r="D17" s="2" t="s">
        <v>67</v>
      </c>
      <c r="E17" s="2">
        <v>5277</v>
      </c>
      <c r="F17" s="11">
        <v>45152</v>
      </c>
      <c r="G17" s="13">
        <f t="shared" si="0"/>
        <v>0</v>
      </c>
      <c r="H17" s="13" t="str">
        <f t="shared" si="1"/>
        <v>is not eligible</v>
      </c>
      <c r="I17" s="13">
        <f t="shared" si="2"/>
        <v>5300</v>
      </c>
      <c r="J17" s="13">
        <f t="shared" si="3"/>
        <v>5300</v>
      </c>
      <c r="K17" s="13">
        <f t="shared" si="4"/>
        <v>5200</v>
      </c>
      <c r="L17" s="13" t="str">
        <f t="shared" si="5"/>
        <v>Aug-2023</v>
      </c>
    </row>
    <row r="18" spans="1:12" ht="15" thickBot="1" x14ac:dyDescent="0.35">
      <c r="A18" s="1">
        <v>2017</v>
      </c>
      <c r="B18" s="2" t="s">
        <v>61</v>
      </c>
      <c r="C18" s="2" t="s">
        <v>53</v>
      </c>
      <c r="D18" s="2" t="s">
        <v>68</v>
      </c>
      <c r="E18" s="2">
        <v>41871</v>
      </c>
      <c r="F18" s="11">
        <v>45167</v>
      </c>
      <c r="G18" s="13">
        <f t="shared" si="0"/>
        <v>8374.2000000000007</v>
      </c>
      <c r="H18" s="13" t="str">
        <f t="shared" si="1"/>
        <v>is eligible</v>
      </c>
      <c r="I18" s="13">
        <f t="shared" si="2"/>
        <v>41900</v>
      </c>
      <c r="J18" s="13">
        <f t="shared" si="3"/>
        <v>41900</v>
      </c>
      <c r="K18" s="13">
        <f t="shared" si="4"/>
        <v>41800</v>
      </c>
      <c r="L18" s="13" t="str">
        <f t="shared" si="5"/>
        <v>Aug-2023</v>
      </c>
    </row>
    <row r="19" spans="1:12" ht="15" thickBot="1" x14ac:dyDescent="0.35">
      <c r="A19" s="1">
        <v>2018</v>
      </c>
      <c r="B19" s="2" t="s">
        <v>61</v>
      </c>
      <c r="C19" s="2" t="s">
        <v>47</v>
      </c>
      <c r="D19" s="2" t="s">
        <v>69</v>
      </c>
      <c r="E19" s="2">
        <v>38161</v>
      </c>
      <c r="F19" s="11">
        <v>45182</v>
      </c>
      <c r="G19" s="13">
        <f t="shared" si="0"/>
        <v>7632.2000000000007</v>
      </c>
      <c r="H19" s="13" t="str">
        <f t="shared" si="1"/>
        <v>is eligible</v>
      </c>
      <c r="I19" s="13">
        <f t="shared" si="2"/>
        <v>38200</v>
      </c>
      <c r="J19" s="13">
        <f t="shared" si="3"/>
        <v>38200</v>
      </c>
      <c r="K19" s="13">
        <f t="shared" si="4"/>
        <v>38100</v>
      </c>
      <c r="L19" s="13" t="str">
        <f t="shared" si="5"/>
        <v>Sep-2023</v>
      </c>
    </row>
    <row r="20" spans="1:12" ht="15" thickBot="1" x14ac:dyDescent="0.35">
      <c r="A20" s="1">
        <v>2019</v>
      </c>
      <c r="B20" s="2" t="s">
        <v>49</v>
      </c>
      <c r="C20" s="2" t="s">
        <v>47</v>
      </c>
      <c r="D20" s="2" t="s">
        <v>70</v>
      </c>
      <c r="E20" s="2">
        <v>30436</v>
      </c>
      <c r="F20" s="11">
        <v>45197</v>
      </c>
      <c r="G20" s="13">
        <f t="shared" si="0"/>
        <v>4565.3999999999996</v>
      </c>
      <c r="H20" s="13" t="str">
        <f t="shared" si="1"/>
        <v>is eligible</v>
      </c>
      <c r="I20" s="13">
        <f t="shared" si="2"/>
        <v>30400</v>
      </c>
      <c r="J20" s="13">
        <f t="shared" si="3"/>
        <v>30500</v>
      </c>
      <c r="K20" s="13">
        <f t="shared" si="4"/>
        <v>30400</v>
      </c>
      <c r="L20" s="13" t="str">
        <f t="shared" si="5"/>
        <v>Sep-2023</v>
      </c>
    </row>
    <row r="21" spans="1:12" ht="15" thickBot="1" x14ac:dyDescent="0.35">
      <c r="A21" s="1">
        <v>2020</v>
      </c>
      <c r="B21" s="2" t="s">
        <v>46</v>
      </c>
      <c r="C21" s="2" t="s">
        <v>47</v>
      </c>
      <c r="D21" s="2" t="s">
        <v>71</v>
      </c>
      <c r="E21" s="2">
        <v>33953</v>
      </c>
      <c r="F21" s="11">
        <v>45212</v>
      </c>
      <c r="G21" s="13">
        <f t="shared" si="0"/>
        <v>5092.95</v>
      </c>
      <c r="H21" s="13" t="str">
        <f t="shared" si="1"/>
        <v>is eligible</v>
      </c>
      <c r="I21" s="13">
        <f t="shared" si="2"/>
        <v>34000</v>
      </c>
      <c r="J21" s="13">
        <f t="shared" si="3"/>
        <v>34000</v>
      </c>
      <c r="K21" s="13">
        <f t="shared" si="4"/>
        <v>33900</v>
      </c>
      <c r="L21" s="13" t="str">
        <f t="shared" si="5"/>
        <v>Oct-2023</v>
      </c>
    </row>
    <row r="23" spans="1:12" ht="15" thickBot="1" x14ac:dyDescent="0.35"/>
    <row r="24" spans="1:12" ht="15" thickBot="1" x14ac:dyDescent="0.35">
      <c r="A24" s="9" t="s">
        <v>77</v>
      </c>
      <c r="B24" s="21" t="s">
        <v>47</v>
      </c>
    </row>
    <row r="25" spans="1:12" ht="15" thickBot="1" x14ac:dyDescent="0.35">
      <c r="A25" s="9" t="s">
        <v>78</v>
      </c>
      <c r="B25" s="21" t="s">
        <v>61</v>
      </c>
    </row>
    <row r="26" spans="1:12" ht="15" thickBot="1" x14ac:dyDescent="0.35">
      <c r="A26" s="9" t="s">
        <v>76</v>
      </c>
      <c r="B26" s="22">
        <f>SUMIFS(E2:E21,C2:C21,B24,B2:B21,B25)</f>
        <v>38161</v>
      </c>
    </row>
    <row r="27" spans="1:12" ht="15" thickBot="1" x14ac:dyDescent="0.35">
      <c r="A27" s="14"/>
      <c r="B27" s="22"/>
    </row>
    <row r="28" spans="1:12" ht="15" thickBot="1" x14ac:dyDescent="0.35">
      <c r="A28" s="10"/>
      <c r="B28" s="22"/>
    </row>
    <row r="29" spans="1:12" ht="15" thickBot="1" x14ac:dyDescent="0.35">
      <c r="A29" s="9" t="s">
        <v>79</v>
      </c>
      <c r="B29" s="22">
        <v>2003</v>
      </c>
    </row>
    <row r="30" spans="1:12" ht="15" thickBot="1" x14ac:dyDescent="0.35">
      <c r="A30" s="9" t="s">
        <v>81</v>
      </c>
      <c r="B30" s="22">
        <f>IFERROR(VLOOKUP(B29,A2:E21,5,FALSE),"-")</f>
        <v>23672</v>
      </c>
    </row>
    <row r="31" spans="1:12" ht="15" thickBot="1" x14ac:dyDescent="0.35">
      <c r="A31" s="14"/>
      <c r="B31" s="22"/>
    </row>
    <row r="32" spans="1:12" ht="15" thickBot="1" x14ac:dyDescent="0.35">
      <c r="A32" s="10"/>
      <c r="B32" s="22"/>
    </row>
    <row r="33" spans="1:2" ht="15" thickBot="1" x14ac:dyDescent="0.35">
      <c r="A33" s="9" t="s">
        <v>84</v>
      </c>
      <c r="B33" s="22" t="s">
        <v>48</v>
      </c>
    </row>
    <row r="34" spans="1:2" ht="15" thickBot="1" x14ac:dyDescent="0.35">
      <c r="A34" s="9" t="s">
        <v>85</v>
      </c>
      <c r="B34" s="22">
        <v>1</v>
      </c>
    </row>
    <row r="35" spans="1:2" ht="15" thickBot="1" x14ac:dyDescent="0.35">
      <c r="A35" s="9" t="s">
        <v>80</v>
      </c>
      <c r="B35" s="22" cm="1">
        <f t="array" ref="B35">IFERROR(INDEX($E$2:$E$21,MATCH(1,((D2:D21=B33)*(MONTH(F2:F21)=B34)),0)),"-")</f>
        <v>17428</v>
      </c>
    </row>
    <row r="36" spans="1:2" ht="15" thickBot="1" x14ac:dyDescent="0.35">
      <c r="A36" s="14"/>
      <c r="B36" s="22"/>
    </row>
    <row r="37" spans="1:2" ht="15" thickBot="1" x14ac:dyDescent="0.35">
      <c r="A37" s="10"/>
      <c r="B37" s="22"/>
    </row>
    <row r="38" spans="1:2" ht="15" thickBot="1" x14ac:dyDescent="0.35">
      <c r="A38" s="9" t="s">
        <v>38</v>
      </c>
      <c r="B38" s="22" t="s">
        <v>82</v>
      </c>
    </row>
    <row r="39" spans="1:2" ht="15" thickBot="1" x14ac:dyDescent="0.35">
      <c r="A39" s="9" t="s">
        <v>83</v>
      </c>
      <c r="B39" s="22">
        <f>_xlfn.XMATCH(B38,$B$2:$B$21,0)</f>
        <v>1</v>
      </c>
    </row>
    <row r="40" spans="1:2" ht="15" thickBot="1" x14ac:dyDescent="0.35">
      <c r="A40" s="14"/>
      <c r="B40" s="22"/>
    </row>
    <row r="41" spans="1:2" ht="15" thickBot="1" x14ac:dyDescent="0.35">
      <c r="A41" s="10"/>
      <c r="B41" s="22"/>
    </row>
    <row r="42" spans="1:2" ht="15" thickBot="1" x14ac:dyDescent="0.35">
      <c r="A42" s="9" t="s">
        <v>88</v>
      </c>
      <c r="B42" s="22">
        <v>4</v>
      </c>
    </row>
    <row r="43" spans="1:2" ht="15" thickBot="1" x14ac:dyDescent="0.35">
      <c r="A43" s="9" t="s">
        <v>87</v>
      </c>
      <c r="B43" s="22">
        <f ca="1">IFERROR(SUM(OFFSET($E$2,0,0,B42,1)),"-")</f>
        <v>53412</v>
      </c>
    </row>
    <row r="44" spans="1:2" ht="15" thickBot="1" x14ac:dyDescent="0.35">
      <c r="A44" s="14"/>
      <c r="B44" s="22"/>
    </row>
    <row r="45" spans="1:2" ht="15" thickBot="1" x14ac:dyDescent="0.35">
      <c r="A45" s="10"/>
      <c r="B45" s="22"/>
    </row>
    <row r="46" spans="1:2" ht="15" thickBot="1" x14ac:dyDescent="0.35">
      <c r="A46" s="9" t="s">
        <v>88</v>
      </c>
      <c r="B46" s="22" t="s">
        <v>89</v>
      </c>
    </row>
    <row r="47" spans="1:2" ht="15" thickBot="1" x14ac:dyDescent="0.35">
      <c r="A47" s="9" t="s">
        <v>90</v>
      </c>
      <c r="B47" s="22" cm="1">
        <f t="array" aca="1" ref="B47" ca="1">IFERROR(INDIRECT(B46),"-")</f>
        <v>7048</v>
      </c>
    </row>
  </sheetData>
  <dataValidations count="2">
    <dataValidation type="list" allowBlank="1" showInputMessage="1" showErrorMessage="1" sqref="B24" xr:uid="{0756503C-711A-4C4C-BD81-48CF9756E390}">
      <formula1>"North,South,East,West"</formula1>
    </dataValidation>
    <dataValidation type="list" allowBlank="1" showInputMessage="1" showErrorMessage="1" sqref="B25" xr:uid="{B5EDCC86-9A88-4500-A7FF-0E7A88072B06}">
      <formula1>"Keyboard,Printer,Mouse,Monitor,Laptop"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9467-286B-4F41-B592-BEC85E54EE7B}">
  <dimension ref="A1:G34"/>
  <sheetViews>
    <sheetView tabSelected="1" zoomScale="85" zoomScaleNormal="85" workbookViewId="0">
      <selection activeCell="B24" sqref="B24:B34"/>
    </sheetView>
  </sheetViews>
  <sheetFormatPr defaultRowHeight="14.4" x14ac:dyDescent="0.3"/>
  <cols>
    <col min="1" max="1" width="12.88671875" customWidth="1"/>
    <col min="2" max="2" width="13" customWidth="1"/>
    <col min="3" max="3" width="12.77734375" customWidth="1"/>
    <col min="4" max="4" width="12.33203125" customWidth="1"/>
    <col min="5" max="5" width="19.6640625" customWidth="1"/>
    <col min="6" max="6" width="17.6640625" customWidth="1"/>
    <col min="7" max="7" width="17.44140625" customWidth="1"/>
  </cols>
  <sheetData>
    <row r="1" spans="1:7" ht="15" thickBot="1" x14ac:dyDescent="0.35">
      <c r="A1" s="6" t="s">
        <v>91</v>
      </c>
      <c r="B1" s="7" t="s">
        <v>1</v>
      </c>
      <c r="C1" s="7" t="s">
        <v>92</v>
      </c>
      <c r="D1" s="7" t="s">
        <v>93</v>
      </c>
      <c r="E1" s="7" t="s">
        <v>94</v>
      </c>
      <c r="F1" s="12" t="s">
        <v>130</v>
      </c>
      <c r="G1" s="12" t="s">
        <v>131</v>
      </c>
    </row>
    <row r="2" spans="1:7" ht="15" thickBot="1" x14ac:dyDescent="0.35">
      <c r="A2" s="1">
        <v>3001</v>
      </c>
      <c r="B2" s="2" t="s">
        <v>95</v>
      </c>
      <c r="C2" s="2" t="s">
        <v>96</v>
      </c>
      <c r="D2" s="2">
        <v>86766</v>
      </c>
      <c r="E2" s="11">
        <v>42005</v>
      </c>
      <c r="F2" s="13">
        <f ca="1">IF(E2&gt;TODAY(),"Future Joining",TODAY()-E2)</f>
        <v>4319</v>
      </c>
      <c r="G2" s="13" t="str">
        <f>TEXT(E2,"mmm-yyyy")</f>
        <v>Jan-2015</v>
      </c>
    </row>
    <row r="3" spans="1:7" ht="15" thickBot="1" x14ac:dyDescent="0.35">
      <c r="A3" s="1">
        <v>3002</v>
      </c>
      <c r="B3" s="2" t="s">
        <v>97</v>
      </c>
      <c r="C3" s="2" t="s">
        <v>96</v>
      </c>
      <c r="D3" s="2">
        <v>31943</v>
      </c>
      <c r="E3" s="11">
        <v>42255</v>
      </c>
      <c r="F3" s="13">
        <f t="shared" ref="F3:F21" ca="1" si="0">IF(E3&gt;TODAY(),"Future Joining",TODAY()-E3)</f>
        <v>4069</v>
      </c>
      <c r="G3" s="13" t="str">
        <f t="shared" ref="G3:G21" si="1">TEXT(E3,"mmm-yyyy")</f>
        <v>Sep-2015</v>
      </c>
    </row>
    <row r="4" spans="1:7" ht="15" thickBot="1" x14ac:dyDescent="0.35">
      <c r="A4" s="1">
        <v>3003</v>
      </c>
      <c r="B4" s="2" t="s">
        <v>98</v>
      </c>
      <c r="C4" s="2" t="s">
        <v>99</v>
      </c>
      <c r="D4" s="2">
        <v>63374</v>
      </c>
      <c r="E4" s="11">
        <v>42505</v>
      </c>
      <c r="F4" s="13">
        <f t="shared" ca="1" si="0"/>
        <v>3819</v>
      </c>
      <c r="G4" s="13" t="str">
        <f t="shared" si="1"/>
        <v>May-2016</v>
      </c>
    </row>
    <row r="5" spans="1:7" ht="15" thickBot="1" x14ac:dyDescent="0.35">
      <c r="A5" s="1">
        <v>3004</v>
      </c>
      <c r="B5" s="2" t="s">
        <v>100</v>
      </c>
      <c r="C5" s="2" t="s">
        <v>96</v>
      </c>
      <c r="D5" s="2">
        <v>109972</v>
      </c>
      <c r="E5" s="11">
        <v>42755</v>
      </c>
      <c r="F5" s="13">
        <f t="shared" ca="1" si="0"/>
        <v>3569</v>
      </c>
      <c r="G5" s="13" t="str">
        <f t="shared" si="1"/>
        <v>Jan-2017</v>
      </c>
    </row>
    <row r="6" spans="1:7" ht="15" thickBot="1" x14ac:dyDescent="0.35">
      <c r="A6" s="1">
        <v>3005</v>
      </c>
      <c r="B6" s="2" t="s">
        <v>101</v>
      </c>
      <c r="C6" s="2" t="s">
        <v>102</v>
      </c>
      <c r="D6" s="2">
        <v>54149</v>
      </c>
      <c r="E6" s="11">
        <v>43005</v>
      </c>
      <c r="F6" s="13">
        <f t="shared" ca="1" si="0"/>
        <v>3319</v>
      </c>
      <c r="G6" s="13" t="str">
        <f t="shared" si="1"/>
        <v>Sep-2017</v>
      </c>
    </row>
    <row r="7" spans="1:7" ht="15" thickBot="1" x14ac:dyDescent="0.35">
      <c r="A7" s="1">
        <v>3006</v>
      </c>
      <c r="B7" s="2" t="s">
        <v>103</v>
      </c>
      <c r="C7" s="2" t="s">
        <v>102</v>
      </c>
      <c r="D7" s="2">
        <v>78689</v>
      </c>
      <c r="E7" s="11">
        <v>43255</v>
      </c>
      <c r="F7" s="13">
        <f t="shared" ca="1" si="0"/>
        <v>3069</v>
      </c>
      <c r="G7" s="13" t="str">
        <f t="shared" si="1"/>
        <v>Jun-2018</v>
      </c>
    </row>
    <row r="8" spans="1:7" ht="15" thickBot="1" x14ac:dyDescent="0.35">
      <c r="A8" s="1">
        <v>3007</v>
      </c>
      <c r="B8" s="2" t="s">
        <v>104</v>
      </c>
      <c r="C8" s="2" t="s">
        <v>105</v>
      </c>
      <c r="D8" s="2">
        <v>35960</v>
      </c>
      <c r="E8" s="11">
        <v>43505</v>
      </c>
      <c r="F8" s="13">
        <f t="shared" ca="1" si="0"/>
        <v>2819</v>
      </c>
      <c r="G8" s="13" t="str">
        <f t="shared" si="1"/>
        <v>Feb-2019</v>
      </c>
    </row>
    <row r="9" spans="1:7" ht="15" thickBot="1" x14ac:dyDescent="0.35">
      <c r="A9" s="1">
        <v>3008</v>
      </c>
      <c r="B9" s="2" t="s">
        <v>106</v>
      </c>
      <c r="C9" s="2" t="s">
        <v>102</v>
      </c>
      <c r="D9" s="2">
        <v>91659</v>
      </c>
      <c r="E9" s="11">
        <v>43755</v>
      </c>
      <c r="F9" s="13">
        <f t="shared" ca="1" si="0"/>
        <v>2569</v>
      </c>
      <c r="G9" s="13" t="str">
        <f t="shared" si="1"/>
        <v>Oct-2019</v>
      </c>
    </row>
    <row r="10" spans="1:7" ht="15" thickBot="1" x14ac:dyDescent="0.35">
      <c r="A10" s="1">
        <v>3009</v>
      </c>
      <c r="B10" s="2" t="s">
        <v>107</v>
      </c>
      <c r="C10" s="2" t="s">
        <v>102</v>
      </c>
      <c r="D10" s="2">
        <v>90423</v>
      </c>
      <c r="E10" s="11">
        <v>44005</v>
      </c>
      <c r="F10" s="13">
        <f t="shared" ca="1" si="0"/>
        <v>2319</v>
      </c>
      <c r="G10" s="13" t="str">
        <f t="shared" si="1"/>
        <v>Jun-2020</v>
      </c>
    </row>
    <row r="11" spans="1:7" ht="15" thickBot="1" x14ac:dyDescent="0.35">
      <c r="A11" s="1">
        <v>3010</v>
      </c>
      <c r="B11" s="2" t="s">
        <v>108</v>
      </c>
      <c r="C11" s="2" t="s">
        <v>99</v>
      </c>
      <c r="D11" s="2">
        <v>107877</v>
      </c>
      <c r="E11" s="11">
        <v>44255</v>
      </c>
      <c r="F11" s="13">
        <f t="shared" ca="1" si="0"/>
        <v>2069</v>
      </c>
      <c r="G11" s="13" t="str">
        <f t="shared" si="1"/>
        <v>Feb-2021</v>
      </c>
    </row>
    <row r="12" spans="1:7" ht="15" thickBot="1" x14ac:dyDescent="0.35">
      <c r="A12" s="1">
        <v>3011</v>
      </c>
      <c r="B12" s="2" t="s">
        <v>109</v>
      </c>
      <c r="C12" s="2" t="s">
        <v>96</v>
      </c>
      <c r="D12" s="2">
        <v>107634</v>
      </c>
      <c r="E12" s="11">
        <v>44505</v>
      </c>
      <c r="F12" s="13">
        <f t="shared" ca="1" si="0"/>
        <v>1819</v>
      </c>
      <c r="G12" s="13" t="str">
        <f t="shared" si="1"/>
        <v>Nov-2021</v>
      </c>
    </row>
    <row r="13" spans="1:7" ht="15" thickBot="1" x14ac:dyDescent="0.35">
      <c r="A13" s="1">
        <v>3012</v>
      </c>
      <c r="B13" s="2" t="s">
        <v>110</v>
      </c>
      <c r="C13" s="2" t="s">
        <v>96</v>
      </c>
      <c r="D13" s="2">
        <v>35226</v>
      </c>
      <c r="E13" s="11">
        <v>44755</v>
      </c>
      <c r="F13" s="13">
        <f t="shared" ca="1" si="0"/>
        <v>1569</v>
      </c>
      <c r="G13" s="13" t="str">
        <f t="shared" si="1"/>
        <v>Jul-2022</v>
      </c>
    </row>
    <row r="14" spans="1:7" ht="15" thickBot="1" x14ac:dyDescent="0.35">
      <c r="A14" s="1">
        <v>3013</v>
      </c>
      <c r="B14" s="2" t="s">
        <v>111</v>
      </c>
      <c r="C14" s="2" t="s">
        <v>99</v>
      </c>
      <c r="D14" s="2">
        <v>40872</v>
      </c>
      <c r="E14" s="11">
        <v>45005</v>
      </c>
      <c r="F14" s="13">
        <f t="shared" ca="1" si="0"/>
        <v>1319</v>
      </c>
      <c r="G14" s="13" t="str">
        <f t="shared" si="1"/>
        <v>Mar-2023</v>
      </c>
    </row>
    <row r="15" spans="1:7" ht="15" thickBot="1" x14ac:dyDescent="0.35">
      <c r="A15" s="1">
        <v>3014</v>
      </c>
      <c r="B15" s="2" t="s">
        <v>112</v>
      </c>
      <c r="C15" s="2" t="s">
        <v>99</v>
      </c>
      <c r="D15" s="2">
        <v>55378</v>
      </c>
      <c r="E15" s="11">
        <v>45255</v>
      </c>
      <c r="F15" s="13">
        <f t="shared" ca="1" si="0"/>
        <v>1069</v>
      </c>
      <c r="G15" s="13" t="str">
        <f t="shared" si="1"/>
        <v>Nov-2023</v>
      </c>
    </row>
    <row r="16" spans="1:7" ht="15" thickBot="1" x14ac:dyDescent="0.35">
      <c r="A16" s="1">
        <v>3015</v>
      </c>
      <c r="B16" s="2" t="s">
        <v>113</v>
      </c>
      <c r="C16" s="2" t="s">
        <v>99</v>
      </c>
      <c r="D16" s="2">
        <v>63297</v>
      </c>
      <c r="E16" s="11">
        <v>45505</v>
      </c>
      <c r="F16" s="13">
        <f t="shared" ca="1" si="0"/>
        <v>819</v>
      </c>
      <c r="G16" s="13" t="str">
        <f t="shared" si="1"/>
        <v>Aug-2024</v>
      </c>
    </row>
    <row r="17" spans="1:7" ht="15" thickBot="1" x14ac:dyDescent="0.35">
      <c r="A17" s="1">
        <v>3016</v>
      </c>
      <c r="B17" s="2" t="s">
        <v>114</v>
      </c>
      <c r="C17" s="2" t="s">
        <v>96</v>
      </c>
      <c r="D17" s="2">
        <v>114173</v>
      </c>
      <c r="E17" s="11">
        <v>45755</v>
      </c>
      <c r="F17" s="13">
        <f t="shared" ca="1" si="0"/>
        <v>569</v>
      </c>
      <c r="G17" s="13" t="str">
        <f t="shared" si="1"/>
        <v>Apr-2025</v>
      </c>
    </row>
    <row r="18" spans="1:7" ht="15" thickBot="1" x14ac:dyDescent="0.35">
      <c r="A18" s="1">
        <v>3017</v>
      </c>
      <c r="B18" s="2" t="s">
        <v>115</v>
      </c>
      <c r="C18" s="2" t="s">
        <v>99</v>
      </c>
      <c r="D18" s="2">
        <v>86915</v>
      </c>
      <c r="E18" s="11">
        <v>46005</v>
      </c>
      <c r="F18" s="13">
        <f t="shared" ca="1" si="0"/>
        <v>319</v>
      </c>
      <c r="G18" s="13" t="str">
        <f t="shared" si="1"/>
        <v>Dec-2025</v>
      </c>
    </row>
    <row r="19" spans="1:7" ht="15" thickBot="1" x14ac:dyDescent="0.35">
      <c r="A19" s="1">
        <v>3018</v>
      </c>
      <c r="B19" s="2" t="s">
        <v>116</v>
      </c>
      <c r="C19" s="2" t="s">
        <v>102</v>
      </c>
      <c r="D19" s="2">
        <v>116284</v>
      </c>
      <c r="E19" s="11">
        <v>46255</v>
      </c>
      <c r="F19" s="13">
        <f t="shared" ca="1" si="0"/>
        <v>69</v>
      </c>
      <c r="G19" s="13" t="str">
        <f t="shared" si="1"/>
        <v>Aug-2026</v>
      </c>
    </row>
    <row r="20" spans="1:7" ht="15" thickBot="1" x14ac:dyDescent="0.35">
      <c r="A20" s="1">
        <v>3019</v>
      </c>
      <c r="B20" s="2" t="s">
        <v>117</v>
      </c>
      <c r="C20" s="2" t="s">
        <v>105</v>
      </c>
      <c r="D20" s="2">
        <v>116283</v>
      </c>
      <c r="E20" s="11">
        <v>46505</v>
      </c>
      <c r="F20" s="13" t="str">
        <f t="shared" ca="1" si="0"/>
        <v>Future Joining</v>
      </c>
      <c r="G20" s="13" t="str">
        <f t="shared" si="1"/>
        <v>Apr-2027</v>
      </c>
    </row>
    <row r="21" spans="1:7" ht="15" thickBot="1" x14ac:dyDescent="0.35">
      <c r="A21" s="1">
        <v>3020</v>
      </c>
      <c r="B21" s="2" t="s">
        <v>118</v>
      </c>
      <c r="C21" s="2" t="s">
        <v>105</v>
      </c>
      <c r="D21" s="2">
        <v>99924</v>
      </c>
      <c r="E21" s="11">
        <v>46755</v>
      </c>
      <c r="F21" s="13" t="str">
        <f t="shared" ca="1" si="0"/>
        <v>Future Joining</v>
      </c>
      <c r="G21" s="13" t="str">
        <f t="shared" si="1"/>
        <v>Jan-2028</v>
      </c>
    </row>
    <row r="24" spans="1:7" x14ac:dyDescent="0.3">
      <c r="A24" s="17" t="s">
        <v>91</v>
      </c>
      <c r="B24" s="23">
        <v>3020</v>
      </c>
    </row>
    <row r="25" spans="1:7" x14ac:dyDescent="0.3">
      <c r="A25" s="17" t="s">
        <v>121</v>
      </c>
      <c r="B25" s="23" t="s">
        <v>119</v>
      </c>
    </row>
    <row r="26" spans="1:7" x14ac:dyDescent="0.3">
      <c r="A26" s="17" t="s">
        <v>120</v>
      </c>
      <c r="B26" s="23" t="str">
        <f>IFERROR(INDEX($B$2:$E$21,MATCH(B24,$A$2:$A$21,0),MATCH(B25,$B$1:$E$1,0)),"-")</f>
        <v>Employee 20</v>
      </c>
    </row>
    <row r="27" spans="1:7" x14ac:dyDescent="0.3">
      <c r="A27" s="18"/>
      <c r="B27" s="24"/>
    </row>
    <row r="28" spans="1:7" x14ac:dyDescent="0.3">
      <c r="A28" s="18"/>
      <c r="B28" s="24"/>
    </row>
    <row r="29" spans="1:7" x14ac:dyDescent="0.3">
      <c r="A29" s="17" t="s">
        <v>91</v>
      </c>
      <c r="B29" s="23">
        <v>3020</v>
      </c>
    </row>
    <row r="30" spans="1:7" x14ac:dyDescent="0.3">
      <c r="A30" s="17" t="s">
        <v>122</v>
      </c>
      <c r="B30" s="23">
        <f>_xlfn.XLOOKUP(B29,$A$2:$A$21,$D$2:$D$21,"-")</f>
        <v>99924</v>
      </c>
    </row>
    <row r="31" spans="1:7" x14ac:dyDescent="0.3">
      <c r="A31" s="18"/>
      <c r="B31" s="24"/>
    </row>
    <row r="32" spans="1:7" x14ac:dyDescent="0.3">
      <c r="A32" s="18"/>
      <c r="B32" s="24"/>
    </row>
    <row r="33" spans="1:2" x14ac:dyDescent="0.3">
      <c r="A33" s="17" t="s">
        <v>127</v>
      </c>
      <c r="B33" s="23" t="s">
        <v>126</v>
      </c>
    </row>
    <row r="34" spans="1:2" x14ac:dyDescent="0.3">
      <c r="A34" s="17" t="s">
        <v>128</v>
      </c>
      <c r="B34" s="23" cm="1">
        <f t="array" aca="1" ref="B34" ca="1">IFERROR(INDIRECT(B33),"-")</f>
        <v>86766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0D0228-44C7-468C-A973-01A73B8AA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Student_Mark_Sheet</vt:lpstr>
      <vt:lpstr>Seles_Detals_Sheet</vt:lpstr>
      <vt:lpstr>Employee_Data_Sheet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dhyey kakadiya</dc:creator>
  <cp:lastModifiedBy>dhyey kakadiya</cp:lastModifiedBy>
  <dcterms:created xsi:type="dcterms:W3CDTF">2026-10-28T04:32:53Z</dcterms:created>
  <dcterms:modified xsi:type="dcterms:W3CDTF">2026-10-29T06:34:23Z</dcterms:modified>
</cp:coreProperties>
</file>